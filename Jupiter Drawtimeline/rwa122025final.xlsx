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Python\jupiter\Jupiter Drawtimeline\"/>
    </mc:Choice>
  </mc:AlternateContent>
  <bookViews>
    <workbookView xWindow="0" yWindow="0" windowWidth="28800" windowHeight="12435"/>
  </bookViews>
  <sheets>
    <sheet name="render_input_project" sheetId="1" r:id="rId1"/>
  </sheets>
  <calcPr calcId="152511"/>
</workbook>
</file>

<file path=xl/calcChain.xml><?xml version="1.0" encoding="utf-8"?>
<calcChain xmlns="http://schemas.openxmlformats.org/spreadsheetml/2006/main">
  <c r="C2" i="1" l="1"/>
  <c r="B4" i="1" s="1"/>
  <c r="C4" i="1" s="1"/>
  <c r="B5" i="1" l="1"/>
  <c r="C5" i="1" s="1"/>
  <c r="B7" i="1" s="1"/>
  <c r="B3" i="1"/>
  <c r="C3" i="1" s="1"/>
  <c r="B6" i="1" s="1"/>
  <c r="C7" i="1" l="1"/>
  <c r="B10" i="1" s="1"/>
  <c r="C10" i="1" s="1"/>
  <c r="C6" i="1"/>
  <c r="B9" i="1" s="1"/>
  <c r="C9" i="1" s="1"/>
  <c r="B8" i="1" l="1"/>
  <c r="C8" i="1" s="1"/>
  <c r="B12" i="1" s="1"/>
  <c r="B11" i="1" l="1"/>
  <c r="C12" i="1"/>
  <c r="C11" i="1"/>
</calcChain>
</file>

<file path=xl/sharedStrings.xml><?xml version="1.0" encoding="utf-8"?>
<sst xmlns="http://schemas.openxmlformats.org/spreadsheetml/2006/main" count="39" uniqueCount="29">
  <si>
    <t>system</t>
  </si>
  <si>
    <t>start</t>
  </si>
  <si>
    <t>finish</t>
  </si>
  <si>
    <t>color</t>
  </si>
  <si>
    <t>desc</t>
  </si>
  <si>
    <t>#15DB95</t>
  </si>
  <si>
    <t>#6CDAEE</t>
  </si>
  <si>
    <t>#F8E9A1</t>
  </si>
  <si>
    <t>1480_56</t>
  </si>
  <si>
    <t>duration</t>
  </si>
  <si>
    <t>Срез общих</t>
  </si>
  <si>
    <t>Срез ПВР</t>
  </si>
  <si>
    <t>Срез СТД</t>
  </si>
  <si>
    <t>1480_57</t>
  </si>
  <si>
    <t>1480_58</t>
  </si>
  <si>
    <t>Расчет ОП</t>
  </si>
  <si>
    <t>2044_12</t>
  </si>
  <si>
    <t>Расчет СТД корп</t>
  </si>
  <si>
    <t>Расчет ПВР корп</t>
  </si>
  <si>
    <t>2044_13</t>
  </si>
  <si>
    <t>2044_14</t>
  </si>
  <si>
    <t>2044_2</t>
  </si>
  <si>
    <t>2044_4</t>
  </si>
  <si>
    <t>2044_6</t>
  </si>
  <si>
    <t>Витрина MIX</t>
  </si>
  <si>
    <t>ПВР корп отч.</t>
  </si>
  <si>
    <t>СТД корп отч.</t>
  </si>
  <si>
    <t>ПВР MIX отчетность</t>
  </si>
  <si>
    <t>СТД MIX отчетность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</si>
</sst>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hh:mm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Border="1" applyAlignment="1">
      <alignment horizontal="center"/>
    </xf>
    <xf numFmtId="0" fontId="0" fillId="0" borderId="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414130</xdr:colOff>
      <xdr:row>0</xdr:row>
      <xdr:rowOff>82826</xdr:rowOff>
    </xdr:from>
    <xdr:to>
      <xdr:col>22</xdr:col>
      <xdr:colOff>256346</xdr:colOff>
      <xdr:row>21</xdr:row>
      <xdr:rowOff>159026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8043" y="82826"/>
          <a:ext cx="9648825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15" zoomScaleNormal="115" workbookViewId="0">
      <selection activeCell="F18" sqref="F18"/>
    </sheetView>
  </sheetViews>
  <sheetFormatPr defaultRowHeight="15" x14ac:dyDescent="0.25"/>
  <cols>
    <col min="2" max="3" width="9.140625" style="1"/>
    <col min="5" max="5" width="26.140625" bestFit="1" customWidth="1"/>
    <col min="6" max="6" width="9.140625" style="1"/>
  </cols>
  <sheetData>
    <row r="1" spans="1:6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9</v>
      </c>
    </row>
    <row r="2" spans="1:6" x14ac:dyDescent="0.25">
      <c r="A2" t="s">
        <v>8</v>
      </c>
      <c r="B2" s="2">
        <v>0</v>
      </c>
      <c r="C2" s="2">
        <f>B2+F2</f>
        <v>0.28125</v>
      </c>
      <c r="D2" t="s">
        <v>6</v>
      </c>
      <c r="E2" t="s">
        <v>10</v>
      </c>
      <c r="F2" s="2">
        <v>0.28125</v>
      </c>
    </row>
    <row r="3" spans="1:6" x14ac:dyDescent="0.25">
      <c r="A3" t="s">
        <v>13</v>
      </c>
      <c r="B3" s="2">
        <f>C2</f>
        <v>0.28125</v>
      </c>
      <c r="C3" s="2">
        <f>B3+F3</f>
        <v>0.38541666666666669</v>
      </c>
      <c r="D3" t="s">
        <v>6</v>
      </c>
      <c r="E3" t="s">
        <v>11</v>
      </c>
      <c r="F3" s="2">
        <v>0.10416666666666667</v>
      </c>
    </row>
    <row r="4" spans="1:6" x14ac:dyDescent="0.25">
      <c r="A4" t="s">
        <v>14</v>
      </c>
      <c r="B4" s="2">
        <f>C2</f>
        <v>0.28125</v>
      </c>
      <c r="C4" s="2">
        <f t="shared" ref="C4:C12" si="0">B4+F4</f>
        <v>0.36458333333333331</v>
      </c>
      <c r="D4" t="s">
        <v>6</v>
      </c>
      <c r="E4" t="s">
        <v>12</v>
      </c>
      <c r="F4" s="2">
        <v>8.3333333333333329E-2</v>
      </c>
    </row>
    <row r="5" spans="1:6" x14ac:dyDescent="0.25">
      <c r="A5" t="s">
        <v>16</v>
      </c>
      <c r="B5" s="2">
        <f>C2</f>
        <v>0.28125</v>
      </c>
      <c r="C5" s="2">
        <f t="shared" si="0"/>
        <v>0.3125</v>
      </c>
      <c r="D5" t="s">
        <v>7</v>
      </c>
      <c r="E5" t="s">
        <v>15</v>
      </c>
      <c r="F5" s="2">
        <v>3.125E-2</v>
      </c>
    </row>
    <row r="6" spans="1:6" x14ac:dyDescent="0.25">
      <c r="A6" t="s">
        <v>19</v>
      </c>
      <c r="B6" s="2">
        <f>MAX(C5,C3)</f>
        <v>0.38541666666666669</v>
      </c>
      <c r="C6" s="2">
        <f>B6+F6</f>
        <v>0.40625</v>
      </c>
      <c r="D6" t="s">
        <v>7</v>
      </c>
      <c r="E6" t="s">
        <v>18</v>
      </c>
      <c r="F6" s="2">
        <v>2.0833333333333332E-2</v>
      </c>
    </row>
    <row r="7" spans="1:6" x14ac:dyDescent="0.25">
      <c r="A7" t="s">
        <v>20</v>
      </c>
      <c r="B7" s="2">
        <f>MAX(C5,C4)</f>
        <v>0.36458333333333331</v>
      </c>
      <c r="C7" s="2">
        <f t="shared" si="0"/>
        <v>0.42569444444444443</v>
      </c>
      <c r="D7" t="s">
        <v>7</v>
      </c>
      <c r="E7" t="s">
        <v>17</v>
      </c>
      <c r="F7" s="2">
        <v>6.1111111111111116E-2</v>
      </c>
    </row>
    <row r="8" spans="1:6" x14ac:dyDescent="0.25">
      <c r="A8" t="s">
        <v>21</v>
      </c>
      <c r="B8" s="2">
        <f>MAX(C6:C7)</f>
        <v>0.42569444444444443</v>
      </c>
      <c r="C8" s="2">
        <f>B8+F8</f>
        <v>0.52986111111111112</v>
      </c>
      <c r="D8" s="3" t="s">
        <v>5</v>
      </c>
      <c r="E8" t="s">
        <v>24</v>
      </c>
      <c r="F8" s="2">
        <v>0.10416666666666667</v>
      </c>
    </row>
    <row r="9" spans="1:6" x14ac:dyDescent="0.25">
      <c r="A9" t="s">
        <v>22</v>
      </c>
      <c r="B9" s="2">
        <f>C6</f>
        <v>0.40625</v>
      </c>
      <c r="C9" s="2">
        <f t="shared" ref="C9:C10" si="1">B9+F9</f>
        <v>0.41805555555555557</v>
      </c>
      <c r="D9" s="3" t="s">
        <v>5</v>
      </c>
      <c r="E9" t="s">
        <v>25</v>
      </c>
      <c r="F9" s="2">
        <v>1.1805555555555555E-2</v>
      </c>
    </row>
    <row r="10" spans="1:6" x14ac:dyDescent="0.25">
      <c r="A10" t="s">
        <v>23</v>
      </c>
      <c r="B10" s="2">
        <f>C7</f>
        <v>0.42569444444444443</v>
      </c>
      <c r="C10" s="2">
        <f t="shared" si="1"/>
        <v>0.45</v>
      </c>
      <c r="D10" s="3" t="s">
        <v>5</v>
      </c>
      <c r="E10" t="s">
        <v>26</v>
      </c>
      <c r="F10" s="2">
        <v>2.4305555555555556E-2</v>
      </c>
    </row>
    <row r="11" spans="1:6" x14ac:dyDescent="0.25">
      <c r="A11" t="s">
        <v>22</v>
      </c>
      <c r="B11" s="2">
        <f>C8</f>
        <v>0.52986111111111112</v>
      </c>
      <c r="C11" s="2">
        <f t="shared" si="0"/>
        <v>0.57152777777777775</v>
      </c>
      <c r="D11" s="3" t="s">
        <v>5</v>
      </c>
      <c r="E11" t="s">
        <v>27</v>
      </c>
      <c r="F11" s="2">
        <v>4.1666666666666664E-2</v>
      </c>
    </row>
    <row r="12" spans="1:6" x14ac:dyDescent="0.25">
      <c r="A12" t="s">
        <v>23</v>
      </c>
      <c r="B12" s="2">
        <f>C8</f>
        <v>0.52986111111111112</v>
      </c>
      <c r="C12" s="2">
        <f t="shared" si="0"/>
        <v>0.56458333333333333</v>
      </c>
      <c r="D12" s="3" t="s">
        <v>5</v>
      </c>
      <c r="E12" t="s">
        <v>28</v>
      </c>
      <c r="F12" s="2">
        <v>3.4722222222222224E-2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render_input_project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Муховиков Александр Леонидович</dc:creator>
  <cp:lastModifiedBy>Муховиков Александр Леонидович</cp:lastModifiedBy>
  <cp:lastPrinted>2025-12-10T08:48:54Z</cp:lastPrinted>
  <dcterms:created xsi:type="dcterms:W3CDTF">2024-03-12T13:49:14Z</dcterms:created>
  <dcterms:modified xsi:type="dcterms:W3CDTF">2025-12-11T09:30:58Z</dcterms:modified>
</cp:coreProperties>
</file>