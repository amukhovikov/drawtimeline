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Dev\Python\jupiter\Jupiter Drawtimeline\"/>
    </mc:Choice>
  </mc:AlternateContent>
  <bookViews>
    <workbookView xWindow="0" yWindow="0" windowWidth="28800" windowHeight="12435"/>
  </bookViews>
  <sheets>
    <sheet name="render_input_project" sheetId="1" r:id="rId1"/>
  </sheets>
  <calcPr calcId="152511"/>
</workbook>
</file>

<file path=xl/calcChain.xml><?xml version="1.0" encoding="utf-8"?>
<calcChain xmlns="http://schemas.openxmlformats.org/spreadsheetml/2006/main">
  <c r="C2" i="1" l="1"/>
  <c r="B4" i="1" s="1"/>
  <c r="C4" i="1" s="1"/>
  <c r="B5" i="1" l="1"/>
  <c r="C5" i="1" s="1"/>
  <c r="B3" i="1"/>
  <c r="C3" i="1" s="1"/>
  <c r="B7" i="1" l="1"/>
  <c r="C7" i="1" s="1"/>
  <c r="B10" i="1" s="1"/>
  <c r="C10" i="1" s="1"/>
  <c r="B6" i="1"/>
  <c r="C6" i="1" s="1"/>
  <c r="B8" i="1" s="1"/>
  <c r="B9" i="1" l="1"/>
  <c r="C9" i="1" s="1"/>
  <c r="C8" i="1" s="1"/>
  <c r="B12" i="1" l="1"/>
  <c r="C12" i="1" s="1"/>
  <c r="B11" i="1"/>
  <c r="C11" i="1" s="1"/>
</calcChain>
</file>

<file path=xl/sharedStrings.xml><?xml version="1.0" encoding="utf-8"?>
<sst xmlns="http://schemas.openxmlformats.org/spreadsheetml/2006/main" count="39" uniqueCount="29">
  <si>
    <t>system</t>
  </si>
  <si>
    <t>start</t>
  </si>
  <si>
    <t>finish</t>
  </si>
  <si>
    <t>color</t>
  </si>
  <si>
    <t>desc</t>
  </si>
  <si>
    <t>#15DB95</t>
  </si>
  <si>
    <t>#6CDAEE</t>
  </si>
  <si>
    <t>#F8E9A1</t>
  </si>
  <si>
    <t>1480_56</t>
  </si>
  <si>
    <t>duration</t>
  </si>
  <si>
    <t>Срез общих</t>
  </si>
  <si>
    <t>Срез ПВР</t>
  </si>
  <si>
    <t>Срез СТД</t>
  </si>
  <si>
    <t>1480_57</t>
  </si>
  <si>
    <t>1480_58</t>
  </si>
  <si>
    <t>Расчет ОП</t>
  </si>
  <si>
    <t>2044_12</t>
  </si>
  <si>
    <t>Расчет СТД корп</t>
  </si>
  <si>
    <t>Расчет ПВР корп</t>
  </si>
  <si>
    <t>2044_13</t>
  </si>
  <si>
    <t>2044_14</t>
  </si>
  <si>
    <t>2044_2</t>
  </si>
  <si>
    <t>Витрина MIX</t>
  </si>
  <si>
    <t>2044_4</t>
  </si>
  <si>
    <t>2044_6</t>
  </si>
  <si>
    <t>ПВР корп отч.</t>
  </si>
  <si>
    <t>СТД корп отч.</t>
  </si>
  <si>
    <t>ПВР MIX отчетность</t>
  </si>
  <si>
    <t>СТД MIX отчетность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</si>
</sst>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[$-F400]h:mm:ss\ AM/PM"/>
    <numFmt numFmtId="165" formatCode="hh:mm"/>
  </numFmts>
  <fonts count="18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8"/>
      <color theme="3"/>
      <name val="Calibri Light"/>
      <family val="2"/>
      <charset val="204"/>
      <scheme val="major"/>
    </font>
    <font>
      <b/>
      <sz val="15"/>
      <color theme="3"/>
      <name val="Calibri"/>
      <family val="2"/>
      <charset val="204"/>
      <scheme val="minor"/>
    </font>
    <font>
      <b/>
      <sz val="13"/>
      <color theme="3"/>
      <name val="Calibri"/>
      <family val="2"/>
      <charset val="204"/>
      <scheme val="minor"/>
    </font>
    <font>
      <b/>
      <sz val="11"/>
      <color theme="3"/>
      <name val="Calibri"/>
      <family val="2"/>
      <charset val="204"/>
      <scheme val="minor"/>
    </font>
    <font>
      <sz val="11"/>
      <color rgb="FF006100"/>
      <name val="Calibri"/>
      <family val="2"/>
      <charset val="204"/>
      <scheme val="minor"/>
    </font>
    <font>
      <sz val="11"/>
      <color rgb="FF9C0006"/>
      <name val="Calibri"/>
      <family val="2"/>
      <charset val="204"/>
      <scheme val="minor"/>
    </font>
    <font>
      <sz val="11"/>
      <color rgb="FF9C6500"/>
      <name val="Calibri"/>
      <family val="2"/>
      <charset val="204"/>
      <scheme val="minor"/>
    </font>
    <font>
      <sz val="11"/>
      <color rgb="FF3F3F76"/>
      <name val="Calibri"/>
      <family val="2"/>
      <charset val="204"/>
      <scheme val="minor"/>
    </font>
    <font>
      <b/>
      <sz val="11"/>
      <color rgb="FF3F3F3F"/>
      <name val="Calibri"/>
      <family val="2"/>
      <charset val="204"/>
      <scheme val="minor"/>
    </font>
    <font>
      <b/>
      <sz val="11"/>
      <color rgb="FFFA7D00"/>
      <name val="Calibri"/>
      <family val="2"/>
      <charset val="204"/>
      <scheme val="minor"/>
    </font>
    <font>
      <sz val="11"/>
      <color rgb="FFFA7D00"/>
      <name val="Calibri"/>
      <family val="2"/>
      <charset val="204"/>
      <scheme val="minor"/>
    </font>
    <font>
      <b/>
      <sz val="11"/>
      <color theme="0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i/>
      <sz val="11"/>
      <color rgb="FF7F7F7F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0"/>
      <name val="Calibri"/>
      <family val="2"/>
      <charset val="20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3">
    <xf numFmtId="0" fontId="0" fillId="0" borderId="0" xfId="0"/>
    <xf numFmtId="164" fontId="0" fillId="0" borderId="0" xfId="0" applyNumberFormat="1"/>
    <xf numFmtId="165" fontId="0" fillId="0" borderId="0" xfId="0" applyNumberFormat="1" applyBorder="1" applyAlignment="1">
      <alignment horizontal="center"/>
    </xf>
  </cellXfs>
  <cellStyles count="42">
    <cellStyle name="20% — акцент1" xfId="19" builtinId="30" customBuiltin="1"/>
    <cellStyle name="20% — акцент2" xfId="23" builtinId="34" customBuiltin="1"/>
    <cellStyle name="20% — акцент3" xfId="27" builtinId="38" customBuiltin="1"/>
    <cellStyle name="20% — акцент4" xfId="31" builtinId="42" customBuiltin="1"/>
    <cellStyle name="20% — акцент5" xfId="35" builtinId="46" customBuiltin="1"/>
    <cellStyle name="20% — акцент6" xfId="39" builtinId="50" customBuiltin="1"/>
    <cellStyle name="40% — акцент1" xfId="20" builtinId="31" customBuiltin="1"/>
    <cellStyle name="40% — акцент2" xfId="24" builtinId="35" customBuiltin="1"/>
    <cellStyle name="40% — акцент3" xfId="28" builtinId="39" customBuiltin="1"/>
    <cellStyle name="40% — акцент4" xfId="32" builtinId="43" customBuiltin="1"/>
    <cellStyle name="40% — акцент5" xfId="36" builtinId="47" customBuiltin="1"/>
    <cellStyle name="40% — акцент6" xfId="40" builtinId="51" customBuiltin="1"/>
    <cellStyle name="60% — акцент1" xfId="21" builtinId="32" customBuiltin="1"/>
    <cellStyle name="60% — акцент2" xfId="25" builtinId="36" customBuiltin="1"/>
    <cellStyle name="60% — акцент3" xfId="29" builtinId="40" customBuiltin="1"/>
    <cellStyle name="60% — акцент4" xfId="33" builtinId="44" customBuiltin="1"/>
    <cellStyle name="60% — акцент5" xfId="37" builtinId="48" customBuiltin="1"/>
    <cellStyle name="60% — акцент6" xfId="41" builtinId="52" customBuiltin="1"/>
    <cellStyle name="Акцент1" xfId="18" builtinId="29" customBuiltin="1"/>
    <cellStyle name="Акцент2" xfId="22" builtinId="33" customBuiltin="1"/>
    <cellStyle name="Акцент3" xfId="26" builtinId="37" customBuiltin="1"/>
    <cellStyle name="Акцент4" xfId="30" builtinId="41" customBuiltin="1"/>
    <cellStyle name="Акцент5" xfId="34" builtinId="45" customBuiltin="1"/>
    <cellStyle name="Акцент6" xfId="38" builtinId="49" customBuiltin="1"/>
    <cellStyle name="Ввод " xfId="9" builtinId="20" customBuiltin="1"/>
    <cellStyle name="Вывод" xfId="10" builtinId="21" customBuiltin="1"/>
    <cellStyle name="Вычисление" xfId="11" builtinId="22" customBuiltin="1"/>
    <cellStyle name="Заголовок 1" xfId="2" builtinId="16" customBuiltin="1"/>
    <cellStyle name="Заголовок 2" xfId="3" builtinId="17" customBuiltin="1"/>
    <cellStyle name="Заголовок 3" xfId="4" builtinId="18" customBuiltin="1"/>
    <cellStyle name="Заголовок 4" xfId="5" builtinId="19" customBuiltin="1"/>
    <cellStyle name="Итог" xfId="17" builtinId="25" customBuiltin="1"/>
    <cellStyle name="Контрольная ячейка" xfId="13" builtinId="23" customBuiltin="1"/>
    <cellStyle name="Название" xfId="1" builtinId="15" customBuiltin="1"/>
    <cellStyle name="Нейтральный" xfId="8" builtinId="28" customBuiltin="1"/>
    <cellStyle name="Обычный" xfId="0" builtinId="0"/>
    <cellStyle name="Плохой" xfId="7" builtinId="27" customBuiltin="1"/>
    <cellStyle name="Пояснение" xfId="16" builtinId="53" customBuiltin="1"/>
    <cellStyle name="Примечание" xfId="15" builtinId="10" customBuiltin="1"/>
    <cellStyle name="Связанная ячейка" xfId="12" builtinId="24" customBuiltin="1"/>
    <cellStyle name="Текст предупреждения" xfId="14" builtinId="11" customBuiltin="1"/>
    <cellStyle name="Хороший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165652</xdr:colOff>
      <xdr:row>0</xdr:row>
      <xdr:rowOff>16565</xdr:rowOff>
    </xdr:from>
    <xdr:to>
      <xdr:col>23</xdr:col>
      <xdr:colOff>480805</xdr:colOff>
      <xdr:row>22</xdr:row>
      <xdr:rowOff>83240</xdr:rowOff>
    </xdr:to>
    <xdr:pic>
      <xdr:nvPicPr>
        <xdr:cNvPr id="7" name="Рисунок 6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969565" y="16565"/>
          <a:ext cx="10734675" cy="42576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2"/>
  <sheetViews>
    <sheetView tabSelected="1" zoomScale="115" zoomScaleNormal="115" workbookViewId="0">
      <selection activeCell="E20" sqref="E20"/>
    </sheetView>
  </sheetViews>
  <sheetFormatPr defaultRowHeight="15" x14ac:dyDescent="0.25"/>
  <cols>
    <col min="2" max="3" width="9.140625" style="1"/>
    <col min="5" max="5" width="26.140625" bestFit="1" customWidth="1"/>
    <col min="6" max="6" width="9.140625" style="1"/>
  </cols>
  <sheetData>
    <row r="1" spans="1:6" x14ac:dyDescent="0.25">
      <c r="A1" t="s">
        <v>0</v>
      </c>
      <c r="B1" s="1" t="s">
        <v>1</v>
      </c>
      <c r="C1" s="1" t="s">
        <v>2</v>
      </c>
      <c r="D1" t="s">
        <v>3</v>
      </c>
      <c r="E1" t="s">
        <v>4</v>
      </c>
      <c r="F1" s="1" t="s">
        <v>9</v>
      </c>
    </row>
    <row r="2" spans="1:6" x14ac:dyDescent="0.25">
      <c r="A2" t="s">
        <v>8</v>
      </c>
      <c r="B2" s="2">
        <v>0</v>
      </c>
      <c r="C2" s="2">
        <f>B2+F2</f>
        <v>0.36805555555555558</v>
      </c>
      <c r="D2" t="s">
        <v>6</v>
      </c>
      <c r="E2" t="s">
        <v>10</v>
      </c>
      <c r="F2" s="2">
        <v>0.36805555555555558</v>
      </c>
    </row>
    <row r="3" spans="1:6" x14ac:dyDescent="0.25">
      <c r="A3" t="s">
        <v>13</v>
      </c>
      <c r="B3" s="2">
        <f>C2</f>
        <v>0.36805555555555558</v>
      </c>
      <c r="C3" s="2">
        <f>B3+F3</f>
        <v>0.40972222222222227</v>
      </c>
      <c r="D3" t="s">
        <v>6</v>
      </c>
      <c r="E3" t="s">
        <v>11</v>
      </c>
      <c r="F3" s="2">
        <v>4.1666666666666664E-2</v>
      </c>
    </row>
    <row r="4" spans="1:6" x14ac:dyDescent="0.25">
      <c r="A4" t="s">
        <v>14</v>
      </c>
      <c r="B4" s="2">
        <f>C2</f>
        <v>0.36805555555555558</v>
      </c>
      <c r="C4" s="2">
        <f t="shared" ref="C4:C12" si="0">B4+F4</f>
        <v>0.47222222222222227</v>
      </c>
      <c r="D4" t="s">
        <v>6</v>
      </c>
      <c r="E4" t="s">
        <v>12</v>
      </c>
      <c r="F4" s="2">
        <v>0.10416666666666667</v>
      </c>
    </row>
    <row r="5" spans="1:6" x14ac:dyDescent="0.25">
      <c r="A5" t="s">
        <v>16</v>
      </c>
      <c r="B5" s="2">
        <f>C2</f>
        <v>0.36805555555555558</v>
      </c>
      <c r="C5" s="2">
        <f t="shared" si="0"/>
        <v>0.39652777777777781</v>
      </c>
      <c r="D5" t="s">
        <v>7</v>
      </c>
      <c r="E5" t="s">
        <v>15</v>
      </c>
      <c r="F5" s="2">
        <v>2.8472222222222222E-2</v>
      </c>
    </row>
    <row r="6" spans="1:6" x14ac:dyDescent="0.25">
      <c r="A6" t="s">
        <v>19</v>
      </c>
      <c r="B6" s="2">
        <f>C5</f>
        <v>0.39652777777777781</v>
      </c>
      <c r="C6" s="2">
        <f>B6+F6</f>
        <v>0.41250000000000003</v>
      </c>
      <c r="D6" t="s">
        <v>7</v>
      </c>
      <c r="E6" t="s">
        <v>18</v>
      </c>
      <c r="F6" s="2">
        <v>1.5972222222222224E-2</v>
      </c>
    </row>
    <row r="7" spans="1:6" x14ac:dyDescent="0.25">
      <c r="A7" t="s">
        <v>20</v>
      </c>
      <c r="B7" s="2">
        <f>C5</f>
        <v>0.39652777777777781</v>
      </c>
      <c r="C7" s="2">
        <f t="shared" si="0"/>
        <v>0.44375000000000003</v>
      </c>
      <c r="D7" t="s">
        <v>7</v>
      </c>
      <c r="E7" t="s">
        <v>17</v>
      </c>
      <c r="F7" s="2">
        <v>4.7222222222222221E-2</v>
      </c>
    </row>
    <row r="8" spans="1:6" x14ac:dyDescent="0.25">
      <c r="A8" t="s">
        <v>21</v>
      </c>
      <c r="B8" s="2">
        <f>MAX(C6,C7)</f>
        <v>0.44375000000000003</v>
      </c>
      <c r="C8" s="2">
        <f>B8+F8</f>
        <v>0.56875000000000009</v>
      </c>
      <c r="D8" t="s">
        <v>5</v>
      </c>
      <c r="E8" t="s">
        <v>22</v>
      </c>
      <c r="F8" s="2">
        <v>0.125</v>
      </c>
    </row>
    <row r="9" spans="1:6" x14ac:dyDescent="0.25">
      <c r="A9" t="s">
        <v>23</v>
      </c>
      <c r="B9" s="2">
        <f>C6</f>
        <v>0.41250000000000003</v>
      </c>
      <c r="C9" s="2">
        <f>B9+F9</f>
        <v>0.42291666666666672</v>
      </c>
      <c r="D9" t="s">
        <v>5</v>
      </c>
      <c r="E9" t="s">
        <v>25</v>
      </c>
      <c r="F9" s="2">
        <v>1.0416666666666666E-2</v>
      </c>
    </row>
    <row r="10" spans="1:6" x14ac:dyDescent="0.25">
      <c r="A10" t="s">
        <v>24</v>
      </c>
      <c r="B10" s="2">
        <f>C7</f>
        <v>0.44375000000000003</v>
      </c>
      <c r="C10" s="2">
        <f t="shared" si="0"/>
        <v>0.46805555555555561</v>
      </c>
      <c r="D10" t="s">
        <v>5</v>
      </c>
      <c r="E10" t="s">
        <v>26</v>
      </c>
      <c r="F10" s="2">
        <v>2.4305555555555556E-2</v>
      </c>
    </row>
    <row r="11" spans="1:6" x14ac:dyDescent="0.25">
      <c r="A11" t="s">
        <v>23</v>
      </c>
      <c r="B11" s="2">
        <f>C8</f>
        <v>0.56875000000000009</v>
      </c>
      <c r="C11" s="2">
        <f t="shared" si="0"/>
        <v>0.65208333333333346</v>
      </c>
      <c r="D11" t="s">
        <v>5</v>
      </c>
      <c r="E11" t="s">
        <v>27</v>
      </c>
      <c r="F11" s="2">
        <v>8.3333333333333329E-2</v>
      </c>
    </row>
    <row r="12" spans="1:6" x14ac:dyDescent="0.25">
      <c r="A12" t="s">
        <v>24</v>
      </c>
      <c r="B12" s="2">
        <f>C8</f>
        <v>0.56875000000000009</v>
      </c>
      <c r="C12" s="2">
        <f t="shared" si="0"/>
        <v>0.6034722222222223</v>
      </c>
      <c r="D12" t="s">
        <v>5</v>
      </c>
      <c r="E12" t="s">
        <v>28</v>
      </c>
      <c r="F12" s="2">
        <v>3.4722222222222224E-2</v>
      </c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render_input_project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Муховиков Александр Леонидович</dc:creator>
  <cp:lastModifiedBy>Муховиков Александр Леонидович</cp:lastModifiedBy>
  <dcterms:created xsi:type="dcterms:W3CDTF">2024-03-12T13:49:14Z</dcterms:created>
  <dcterms:modified xsi:type="dcterms:W3CDTF">2025-12-11T09:48:04Z</dcterms:modified>
</cp:coreProperties>
</file>